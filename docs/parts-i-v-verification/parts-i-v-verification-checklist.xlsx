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40612280fa4515" /></Relationships>
</file>

<file path=xl/workbook.xml><?xml version="1.0" encoding="utf-8"?>
<x:workbook xmlns:x="http://schemas.openxmlformats.org/spreadsheetml/2006/main">
  <x:sheets>
    <x:sheet xmlns:r="http://schemas.openxmlformats.org/officeDocument/2006/relationships" name="Checklist" sheetId="1" r:id="R093f48c7833741c8"/>
    <x:sheet xmlns:r="http://schemas.openxmlformats.org/officeDocument/2006/relationships" name="Guide" sheetId="2" r:id="R9ed5df84597a4fe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Carlito"/>
    </x:font>
    <x:font>
      <x:i/>
      <x:sz val="11"/>
      <x:color rgb="FF234C4A"/>
      <x:name val="Carlito"/>
    </x:font>
    <x:font>
      <x:b/>
      <x:sz val="11"/>
      <x:color rgb="FF173F3D"/>
      <x:name val="Carlito"/>
    </x:font>
    <x:font>
      <x:b/>
      <x:sz val="11"/>
      <x:color rgb="FFFFFFFF"/>
      <x:name val="Carlito"/>
    </x:font>
  </x:fonts>
  <x:fills count="7">
    <x:fill>
      <x:patternFill patternType="none"/>
    </x:fill>
    <x:fill>
      <x:patternFill patternType="gray125"/>
    </x:fill>
    <x:fill>
      <x:patternFill patternType="solid">
        <x:fgColor rgb="FF123C3A"/>
      </x:patternFill>
    </x:fill>
    <x:fill>
      <x:patternFill patternType="solid">
        <x:fgColor rgb="FFEAF3F2"/>
      </x:patternFill>
    </x:fill>
    <x:fill>
      <x:patternFill patternType="solid">
        <x:fgColor rgb="FFDCEAE8"/>
      </x:patternFill>
    </x:fill>
    <x:fill>
      <x:patternFill patternType="solid">
        <x:fgColor rgb="FFF7FAFA"/>
      </x:patternFill>
    </x:fill>
    <x:fill>
      <x:patternFill patternType="solid">
        <x:fgColor rgb="FF1F5C57"/>
      </x:patternFill>
    </x:fill>
  </x:fills>
  <x:borders count="3">
    <x:border>
      <x:left/>
      <x:right/>
      <x:top/>
      <x:bottom/>
      <x:diagonal/>
    </x:border>
    <x:border>
      <x:left style="thin">
        <x:color rgb="FFC9D7D5"/>
      </x:left>
      <x:right style="thin">
        <x:color rgb="FFC9D7D5"/>
      </x:right>
      <x:top style="thin">
        <x:color rgb="FFC9D7D5"/>
      </x:top>
      <x:bottom style="thin">
        <x:color rgb="FFC9D7D5"/>
      </x:bottom>
      <x:diagonal/>
    </x:border>
    <x:border>
      <x:left style="thin">
        <x:color rgb="FFD8E3E2"/>
      </x:left>
      <x:right style="thin">
        <x:color rgb="FFD8E3E2"/>
      </x:right>
      <x:top style="thin">
        <x:color rgb="FFD8E3E2"/>
      </x:top>
      <x:bottom style="thin">
        <x:color rgb="FFD8E3E2"/>
      </x:bottom>
      <x:diagonal/>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1"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1"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2" xfId="0" applyNumberFormat="1" applyFont="1" applyFill="1" applyBorder="1"/>
    <x:xf numFmtId="0" fontId="4" fillId="6" borderId="2" xfId="0" applyNumberFormat="1" applyFont="1" applyFill="1" applyBorder="1" applyAlignment="1">
      <x:alignment wrapText="1"/>
    </x:xf>
    <x:xf numFmtId="0" fontId="4" fillId="6" borderId="2" xfId="0" applyNumberFormat="1" applyFont="1" applyFill="1" applyBorder="1" applyAlignment="1">
      <x:alignment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3" fillId="3" borderId="0" xfId="0" applyNumberFormat="1" applyFont="1" applyFill="1" applyBorder="1"/>
    <x:xf numFmtId="0" fontId="3" fillId="3"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3" borderId="2" xfId="0" applyNumberFormat="1" applyFont="1" applyFill="1" applyBorder="1" applyAlignment="1">
      <x:alignment vertical="top"/>
    </x:xf>
  </x:cellXfs>
  <x:cellStyles count="1">
    <x:cellStyle name="Normal" xfId="0"/>
  </x:cellStyles>
  <x:dxfs count="3">
    <x:dxf>
      <x:font>
        <x:b/>
        <x:color rgb="FF17633A"/>
      </x:font>
      <x:fill>
        <x:patternFill patternType="solid">
          <x:bgColor rgb="FFDFF3E6"/>
        </x:patternFill>
      </x:fill>
    </x:dxf>
    <x:dxf>
      <x:font>
        <x:b/>
        <x:color rgb="FF9F2626"/>
      </x:font>
      <x:fill>
        <x:patternFill patternType="solid">
          <x:bgColor rgb="FFFBE4E4"/>
        </x:patternFill>
      </x:fill>
    </x:dxf>
    <x:dxf>
      <x:font>
        <x:b/>
        <x:color rgb="FF805B00"/>
      </x:font>
      <x:fill>
        <x:patternFill patternType="solid">
          <x:bgColor rgb="FFFFF1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12fcd22f1d470b" /><Relationship Type="http://schemas.openxmlformats.org/officeDocument/2006/relationships/theme" Target="/xl/theme/theme1.xml" Id="R4d7747f8db21459e" /><Relationship Type="http://schemas.openxmlformats.org/officeDocument/2006/relationships/sharedStrings" Target="/xl/sharedStrings.xml" Id="R58ce7650d2f747ae" /><Relationship Type="http://schemas.openxmlformats.org/officeDocument/2006/relationships/worksheet" Target="/xl/worksheets/sheet1.xml" Id="R093f48c7833741c8" /><Relationship Type="http://schemas.openxmlformats.org/officeDocument/2006/relationships/worksheet" Target="/xl/worksheets/sheet2.xml" Id="R9ed5df84597a4fe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9" topLeftCell="C10" activePane="bottomRight" state="frozen"/>
    </x:sheetView>
  </x:sheetViews>
  <x:sheetFormatPr defaultRowHeight="15"/>
  <x:cols>
    <x:col min="1" max="1" width="5" hidden="0" customWidth="1"/>
    <x:col min="2" max="2" width="25" hidden="0" customWidth="1"/>
    <x:col min="3" max="3" width="28" hidden="0" customWidth="1"/>
    <x:col min="4" max="4" width="12" hidden="0" customWidth="1"/>
    <x:col min="5" max="5" width="30" hidden="0" customWidth="1"/>
    <x:col min="6" max="6" width="60" hidden="0" customWidth="1"/>
    <x:col min="7" max="7" width="72" hidden="0" customWidth="1"/>
    <x:col min="8" max="8" width="44" hidden="0" customWidth="1"/>
    <x:col min="9" max="9" width="52" hidden="0" customWidth="1"/>
    <x:col min="10" max="10" width="12" hidden="0" customWidth="1"/>
    <x:col min="11" max="11" width="55" hidden="0" customWidth="1"/>
    <x:col min="12" max="12" width="60" hidden="0" customWidth="1"/>
  </x:cols>
  <x:sheetData>
    <x:row r="1" ht="34" customHeight="1">
      <x:c r="A1" s="3" t="str">
        <x:v>Singapore Parts III–V source verification</x:v>
      </x:c>
      <x:c r="B1" s="3"/>
      <x:c r="C1" s="3"/>
      <x:c r="D1" s="3"/>
      <x:c r="E1" s="3"/>
      <x:c r="F1" s="3"/>
      <x:c r="G1" s="3"/>
      <x:c r="H1" s="3"/>
      <x:c r="I1" s="3"/>
      <x:c r="J1" s="3"/>
      <x:c r="K1" s="3"/>
      <x:c r="L1" s="3"/>
    </x:row>
    <x:row r="2">
      <x:c r="A2" s="6" t="str">
        <x:v>Candidate dataset: acd-2026-1__sg-2025-12-01__parts-i-v-r1</x:v>
      </x:c>
      <x:c r="B2" s="6"/>
      <x:c r="C2" s="6"/>
      <x:c r="D2" s="6"/>
      <x:c r="E2" s="6"/>
      <x:c r="F2" s="6"/>
      <x:c r="G2" s="6"/>
      <x:c r="H2" s="6"/>
      <x:c r="I2" s="6"/>
      <x:c r="J2" s="6"/>
      <x:c r="K2" s="6"/>
      <x:c r="L2" s="6"/>
    </x:row>
    <x:row r="4">
      <x:c r="A4" s="9" t="str">
        <x:v>Verification status</x:v>
      </x:c>
      <x:c r="B4" s="9" t="str">
        <x:v>Count</x:v>
      </x:c>
    </x:row>
    <x:row r="5">
      <x:c r="A5" s="10" t="str">
        <x:v>Passed</x:v>
      </x:c>
      <x:c r="B5" s="10" t="n">
        <x:f>COUNTIFS(J10:J24,"PASS")</x:f>
        <x:v>15</x:v>
      </x:c>
    </x:row>
    <x:row r="6">
      <x:c r="A6" s="10" t="str">
        <x:v>Failed</x:v>
      </x:c>
      <x:c r="B6" s="10" t="n">
        <x:f>COUNTIFS(J10:J24,"FAIL")</x:f>
        <x:v>0</x:v>
      </x:c>
    </x:row>
    <x:row r="7">
      <x:c r="A7" s="10" t="str">
        <x:v>Pending</x:v>
      </x:c>
      <x:c r="B7" s="10" t="n">
        <x:f>COUNTIFS(J10:J24,"PENDING")</x:f>
        <x:v>0</x:v>
      </x:c>
    </x:row>
    <x:row r="9" ht="34" customHeight="1">
      <x:c r="A9" s="15" t="str">
        <x:v>#</x:v>
      </x:c>
      <x:c r="B9" s="15" t="str">
        <x:v>Check ID</x:v>
      </x:c>
      <x:c r="C9" s="15" t="str">
        <x:v>Regulatory section</x:v>
      </x:c>
      <x:c r="D9" s="15" t="str">
        <x:v>Reference</x:v>
      </x:c>
      <x:c r="E9" s="15" t="str">
        <x:v>Rendered source page(s)</x:v>
      </x:c>
      <x:c r="F9" s="15" t="str">
        <x:v>Expected source information</x:v>
      </x:c>
      <x:c r="G9" s="15" t="str">
        <x:v>Extracted JSON values</x:v>
      </x:c>
      <x:c r="H9" s="15" t="str">
        <x:v>Automated checks</x:v>
      </x:c>
      <x:c r="I9" s="15" t="str">
        <x:v>Manual source check</x:v>
      </x:c>
      <x:c r="J9" s="15" t="str">
        <x:v>Result</x:v>
      </x:c>
      <x:c r="K9" s="15" t="str">
        <x:v>Evidence checked</x:v>
      </x:c>
      <x:c r="L9" s="15" t="str">
        <x:v>Reviewer notes</x:v>
      </x:c>
    </x:row>
    <x:row r="10" ht="112" customHeight="1">
      <x:c r="A10" s="19" t="n">
        <x:v>1</x:v>
      </x:c>
      <x:c r="B10" s="18" t="str">
        <x:v>parts-i-v-01</x:v>
      </x:c>
      <x:c r="C10" s="18" t="str">
        <x:v>Third Schedule Part III</x:v>
      </x:c>
      <x:c r="D10" s="18" t="str">
        <x:v>12085</x:v>
      </x:c>
      <x:c r="E10" s="18" t="str">
        <x:v>source-pages/sg-page-169.png</x:v>
      </x:c>
      <x:c r="F10" s="18" t="str">
        <x:v>CI 12085#, Red; allowed in all cosmetic products; 3% maximum concentration in the finished product.</x:v>
      </x:c>
      <x:c r="G10" s="18" t="str">
        <x:v>Rule: sg-third-schedule-iii-12085
Name: 12085#
Limit/source field: Allowed in all cosmetic products 3% maximum concentration in the finished product
Parsed concentration: 3 percent; basis —; stage finished_product
Use/context: Allowed in all cosmetic products 3% maximum concentration in the finished product
Section version: informal consolidation - version in force from 1 December 2025
Normalization: normalized</x:v>
      </x:c>
      <x:c r="H10" s="18" t="str">
        <x:v>Source hash, required record, provenance, identifier uniqueness, candidate structure and reproducible output hashes.</x:v>
      </x:c>
      <x:c r="I10" s="18" t="str">
        <x:v>Compare the rendered page with every displayed name, identifier, limit, basis, use condition, warning, continuation row, footnote and version. Confirm conservative manual-review status where the source is not safely executable.</x:v>
      </x:c>
      <x:c r="J10" s="19" t="str">
        <x:v>PASS</x:v>
      </x:c>
      <x:c r="K10" s="18" t="str">
        <x:v>Singapore Third Schedule Part III rendered page 169 compared with sg-third-schedule-iii-12085.</x:v>
      </x:c>
      <x:c r="L10" s="18" t="str">
        <x:v>CI 12085#, Red, all cosmetic products, and 3% maximum in the finished product match the source row.</x:v>
      </x:c>
    </x:row>
    <x:row r="11" ht="112" customHeight="1">
      <x:c r="A11" s="19" t="n">
        <x:v>2</x:v>
      </x:c>
      <x:c r="B11" s="18" t="str">
        <x:v>parts-i-v-02</x:v>
      </x:c>
      <x:c r="C11" s="18" t="str">
        <x:v>Annex IV Part 1</x:v>
      </x:c>
      <x:c r="D11" s="18" t="str">
        <x:v>12085</x:v>
      </x:c>
      <x:c r="E11" s="18" t="str">
        <x:v>source-pages/acd-page-259.png
source-pages/acd-page-265.png</x:v>
      </x:c>
      <x:c r="F11" s="18" t="str">
        <x:v>CI 12085 (2), Red; X in field-of-application column 1 (all cosmetic products); 3% maximum in finished products; footnote (2) covers specified insoluble lakes, salts and pigments and the insolubility test.</x:v>
      </x:c>
      <x:c r="G11" s="18" t="str">
        <x:v>Rule: acd-iv-12085
Name: 12085 (2)
Limit/source field: 3% max. concentration in the finished products
Parsed concentration: 3 percent; basis —; stage finished_product
Use/context: allowed in all cosmetic products
Footnotes: {"footnote_number":"2","source_page":265,"source_text":"(2) The insoluble barium, strontium and zirconium lakes, salts and pigments of these colouring\nagents shall also be permitted. They must pass the test for insolubility which will be determined by\nthe procedure laid down in Article 9."}
Section version: 2026-1, 22 June 2026
Normalization: manual_review_required
Review reasons: jurisdiction_specific_source_wording</x:v>
      </x:c>
      <x:c r="H11" s="18" t="str">
        <x:v>Source hash, required record, provenance, identifier uniqueness, candidate structure and reproducible output hashes.</x:v>
      </x:c>
      <x:c r="I11" s="18" t="str">
        <x:v>Compare the rendered page with every displayed name, identifier, limit, basis, use condition, warning, continuation row, footnote and version. Confirm conservative manual-review status where the source is not safely executable.</x:v>
      </x:c>
      <x:c r="J11" s="19" t="str">
        <x:v>PASS</x:v>
      </x:c>
      <x:c r="K11" s="18" t="str">
        <x:v>ACD Annex IV rendered pages 259 and 265 compared with acd-iv-12085.</x:v>
      </x:c>
      <x:c r="L11" s="18" t="str">
        <x:v>CI 12085 (2), Red, column-1 application, 3% finished-product limit, and footnote (2) match. The footnote linkage was corrected before this PASS was recorded.</x:v>
      </x:c>
    </x:row>
    <x:row r="12" ht="112" customHeight="1">
      <x:c r="A12" s="19" t="n">
        <x:v>3</x:v>
      </x:c>
      <x:c r="B12" s="18" t="str">
        <x:v>parts-i-v-03</x:v>
      </x:c>
      <x:c r="C12" s="18" t="str">
        <x:v>Third Schedule Part III</x:v>
      </x:c>
      <x:c r="D12" s="18" t="str">
        <x:v>10316</x:v>
      </x:c>
      <x:c r="E12" s="18" t="str">
        <x:v>source-pages/sg-page-169.png</x:v>
      </x:c>
      <x:c r="F12" s="18" t="str">
        <x:v>CI 10316#, Yellow; allowed except for products applied near the eyes, especially eye make-up and eye make-up remover.</x:v>
      </x:c>
      <x:c r="G12" s="18" t="str">
        <x:v>Rule: sg-third-schedule-iii-10316
Name: 10316#
Limit/source field: Allowed in all cosmetic products except those intended to be applied in the vicinity of eyes, in particular eye make- up and eye make-up remover
Use/context: Allowed in all cosmetic products except those intended to be applied in the vicinity of eyes, in particular eye make- up and eye make-up remover
Section version: informal consolidation - version in force from 1 December 2025
Normalization: normalized</x:v>
      </x:c>
      <x:c r="H12" s="18" t="str">
        <x:v>Source hash, required record, provenance, identifier uniqueness, candidate structure and reproducible output hashes.</x:v>
      </x:c>
      <x:c r="I12" s="18" t="str">
        <x:v>Compare the rendered page with every displayed name, identifier, limit, basis, use condition, warning, continuation row, footnote and version. Confirm conservative manual-review status where the source is not safely executable.</x:v>
      </x:c>
      <x:c r="J12" s="19" t="str">
        <x:v>PASS</x:v>
      </x:c>
      <x:c r="K12" s="18" t="str">
        <x:v>Singapore Third Schedule Part III rendered page 169 compared with sg-third-schedule-iii-10316.</x:v>
      </x:c>
      <x:c r="L12" s="18" t="str">
        <x:v>CI 10316#, Yellow, and the exclusion for products applied near the eyes match the source row.</x:v>
      </x:c>
    </x:row>
    <x:row r="13" ht="112" customHeight="1">
      <x:c r="A13" s="19" t="n">
        <x:v>4</x:v>
      </x:c>
      <x:c r="B13" s="18" t="str">
        <x:v>parts-i-v-04</x:v>
      </x:c>
      <x:c r="C13" s="18" t="str">
        <x:v>Third Schedule Part IV</x:v>
      </x:c>
      <x:c r="D13" s="18" t="str">
        <x:v>1</x:v>
      </x:c>
      <x:c r="E13" s="18" t="str">
        <x:v>source-pages/sg-page-182.png</x:v>
      </x:c>
      <x:c r="F13" s="18" t="str">
        <x:v>Benzoic acid and sodium salt: 2.5% (acid) for rinse-off except oral care, 1.7% (acid) for oral care, and 0.5% (acid) for leave-on products.</x:v>
      </x:c>
      <x:c r="G13" s="18" t="str">
        <x:v>Rule: sg-third-schedule-iv-1
Name: Benzoic acid, and its sodium salt
Limit/source field: Rinse-off products, except oral care products: 2.5% (acid) Oral care products: 1.7% (acid) Leave on products: 0.5% (acid)
Section version: informal consolidation - version in force from 1 December 2025
Normalization: manual_review_required
Review reasons: concentration_contains_multiple_or_ambiguous_values</x:v>
      </x:c>
      <x:c r="H13" s="18" t="str">
        <x:v>Source hash, required record, provenance, identifier uniqueness, candidate structure and reproducible output hashes.</x:v>
      </x:c>
      <x:c r="I13" s="18" t="str">
        <x:v>Compare the rendered page with every displayed name, identifier, limit, basis, use condition, warning, continuation row, footnote and version. Confirm conservative manual-review status where the source is not safely executable.</x:v>
      </x:c>
      <x:c r="J13" s="19" t="str">
        <x:v>PASS</x:v>
      </x:c>
      <x:c r="K13" s="18" t="str">
        <x:v>Singapore Third Schedule Part IV rendered page 182 compared with sg-third-schedule-iv-1.</x:v>
      </x:c>
      <x:c r="L13" s="18" t="str">
        <x:v>Benzoic acid/sodium salt product-specific limits of 2.5%, 1.7%, and 0.5%, expressed as acid, match.</x:v>
      </x:c>
    </x:row>
    <x:row r="14" ht="112" customHeight="1">
      <x:c r="A14" s="19" t="n">
        <x:v>5</x:v>
      </x:c>
      <x:c r="B14" s="18" t="str">
        <x:v>parts-i-v-05</x:v>
      </x:c>
      <x:c r="C14" s="18" t="str">
        <x:v>Annex VI</x:v>
      </x:c>
      <x:c r="D14" s="18" t="str">
        <x:v>1</x:v>
      </x:c>
      <x:c r="E14" s="18" t="str">
        <x:v>source-pages/acd-page-266.png
source-pages/acd-page-267.png</x:v>
      </x:c>
      <x:c r="F14" s="18" t="str">
        <x:v>Benzoic acid CAS 65-85-0 and sodium salt CAS 532-32-1 with the same 2.5%, 1.7%, and 0.5% product-specific limits, all expressed as acid.</x:v>
      </x:c>
      <x:c r="G14" s="18" t="str">
        <x:v>Rule: acd-vi-1
Name: Benzoic acid (CAS No. 65-85-0), and its
sodium salt (CAS No. 532-32-1)
CAS: 532-32-1, 65-85-0
Limit/source field: Rinse off products, except oral care products; 2.5 % (acid) Oral care products; 1.7 % (acid) Leave-on products; 0.5 % (acid)
Section version: 2026-1, 22 June 2026
Normalization: manual_review_required
Review reasons: concentration_contains_multiple_or_ambiguous_values</x:v>
      </x:c>
      <x:c r="H14" s="18" t="str">
        <x:v>Source hash, required record, provenance, identifier uniqueness, candidate structure and reproducible output hashes.</x:v>
      </x:c>
      <x:c r="I14" s="18" t="str">
        <x:v>Compare the rendered page with every displayed name, identifier, limit, basis, use condition, warning, continuation row, footnote and version. Confirm conservative manual-review status where the source is not safely executable.</x:v>
      </x:c>
      <x:c r="J14" s="19" t="str">
        <x:v>PASS</x:v>
      </x:c>
      <x:c r="K14" s="18" t="str">
        <x:v>ACD Annex VI rendered pages 266 and 267 compared with acd-vi-1.</x:v>
      </x:c>
      <x:c r="L14" s="18" t="str">
        <x:v>Names, CAS 65-85-0 and 532-32-1, three product-specific limits, and acid basis match.</x:v>
      </x:c>
    </x:row>
    <x:row r="15" ht="112" customHeight="1">
      <x:c r="A15" s="19" t="n">
        <x:v>6</x:v>
      </x:c>
      <x:c r="B15" s="18" t="str">
        <x:v>parts-i-v-06</x:v>
      </x:c>
      <x:c r="C15" s="18" t="str">
        <x:v>Third Schedule Part IV</x:v>
      </x:c>
      <x:c r="D15" s="18" t="str">
        <x:v>12</x:v>
      </x:c>
      <x:c r="E15" s="18" t="str">
        <x:v>source-pages/sg-page-182.png
source-pages/sg-page-183.png</x:v>
      </x:c>
      <x:c r="F15" s="18" t="str">
        <x:v>Reference 12 lists the named methyl/ethyl parabens and salts; 0.4% as acid for one ester and 0.8% as acid for mixtures of esters.</x:v>
      </x:c>
      <x:c r="G15" s="18" t="str">
        <x:v>Rule: sg-third-schedule-iv-12
Name: 4-Hydroxybenzoic acid and its Methyl-
and Ethyl- esters, and their salts (INCI);
4-Hydroxybenzoic acid;
Methylparaben;
Potassium ethylparaben;
Potassium paraben;
Sodium methylparaben;
Sodium ethylparaben;
Ethylparaben;
Sodium paraben;
Potassium methylparaben;
Calcium paraben
Limit/source field: 0.4% (as acid) for single ester 0.8% (as acid) for mixtures of esters
Section version: informal consolidation - version in force from 1 December 2025
Normalization: manual_review_required
Review reasons: concentration_contains_multiple_or_ambiguous_values</x:v>
      </x:c>
      <x:c r="H15" s="18" t="str">
        <x:v>Source hash, required record, provenance, identifier uniqueness, candidate structure and reproducible output hashes.</x:v>
      </x:c>
      <x:c r="I15" s="18" t="str">
        <x:v>Compare the rendered page with every displayed name, identifier, limit, basis, use condition, warning, continuation row, footnote and version. Confirm conservative manual-review status where the source is not safely executable.</x:v>
      </x:c>
      <x:c r="J15" s="19" t="str">
        <x:v>PASS</x:v>
      </x:c>
      <x:c r="K15" s="18" t="str">
        <x:v>Singapore Third Schedule Part IV rendered pages 182 and 183 compared with sg-third-schedule-iv-12.</x:v>
      </x:c>
      <x:c r="L15" s="18" t="str">
        <x:v>Named parabens/salts and the 0.4% single-ester and 0.8% mixture limits expressed as acid match.</x:v>
      </x:c>
    </x:row>
    <x:row r="16" ht="112" customHeight="1">
      <x:c r="A16" s="19" t="n">
        <x:v>7</x:v>
      </x:c>
      <x:c r="B16" s="18" t="str">
        <x:v>parts-i-v-07</x:v>
      </x:c>
      <x:c r="C16" s="18" t="str">
        <x:v>Annex VI</x:v>
      </x:c>
      <x:c r="D16" s="18" t="str">
        <x:v>20</x:v>
      </x:c>
      <x:c r="E16" s="18" t="str">
        <x:v>source-pages/acd-page-266.png
source-pages/acd-page-272.png</x:v>
      </x:c>
      <x:c r="F16" s="18" t="str">
        <x:v>Reference 20 is 5-Bromo-5-nitro-1,3 dioxane, CAS 30007-47-7, 0.1%, rinse-off only, avoid nitrosamines. Annex VI preamble requires 'contains formaldehyde' when released formaldehyde exceeds 0.05% for named entries including 20.</x:v>
      </x:c>
      <x:c r="G16" s="18" t="str">
        <x:v>Rule: acd-vi-20
Name: 5-Bromo-5-nitro-1,3 dioxane
CAS No. 30007-47-7
CAS: 30007-47-7
Limit/source field: 0.1%
Parsed concentration: 0.1 percent; basis —; stage finished_product
Warnings: contains formaldehyde [professional_review]
Section version: 2026-1, 22 June 2026
Normalization: normalized</x:v>
      </x:c>
      <x:c r="H16" s="18" t="str">
        <x:v>Source hash, required record, provenance, identifier uniqueness, candidate structure and reproducible output hashes.</x:v>
      </x:c>
      <x:c r="I16" s="18" t="str">
        <x:v>Compare the rendered page with every displayed name, identifier, limit, basis, use condition, warning, continuation row, footnote and version. Confirm conservative manual-review status where the source is not safely executable.</x:v>
      </x:c>
      <x:c r="J16" s="19" t="str">
        <x:v>PASS</x:v>
      </x:c>
      <x:c r="K16" s="18" t="str">
        <x:v>ACD Annex VI rendered pages 266 and 272 compared with acd-vi-20.</x:v>
      </x:c>
      <x:c r="L16" s="18" t="str">
        <x:v>Identity, CAS, 0.1%, rinse-off restriction, nitrosamine condition, and the preamble formaldehyde warning match. The structured warning linkage was corrected before this PASS was recorded.</x:v>
      </x:c>
    </x:row>
    <x:row r="17" ht="112" customHeight="1">
      <x:c r="A17" s="19" t="n">
        <x:v>8</x:v>
      </x:c>
      <x:c r="B17" s="18" t="str">
        <x:v>parts-i-v-08</x:v>
      </x:c>
      <x:c r="C17" s="18" t="str">
        <x:v>Third Schedule Part IV</x:v>
      </x:c>
      <x:c r="D17" s="18" t="str">
        <x:v>2</x:v>
      </x:c>
      <x:c r="E17" s="18" t="str">
        <x:v>source-pages/sg-page-182.png</x:v>
      </x:c>
      <x:c r="F17" s="18" t="str">
        <x:v>Reference 2 is Propionic acid and its salts with a 2% maximum expressed as acid.</x:v>
      </x:c>
      <x:c r="G17" s="18" t="str">
        <x:v>Rule: sg-third-schedule-iv-2
Name: Propionic acid and its salts
Limit/source field: 2% (acid)
Parsed concentration: 2 percent; basis —; stage finished_product
Section version: informal consolidation - version in force from 1 December 2025
Normalization: normalized</x:v>
      </x:c>
      <x:c r="H17" s="18" t="str">
        <x:v>Source hash, required record, provenance, identifier uniqueness, candidate structure and reproducible output hashes.</x:v>
      </x:c>
      <x:c r="I17" s="18" t="str">
        <x:v>Compare the rendered page with every displayed name, identifier, limit, basis, use condition, warning, continuation row, footnote and version. Confirm conservative manual-review status where the source is not safely executable.</x:v>
      </x:c>
      <x:c r="J17" s="19" t="str">
        <x:v>PASS</x:v>
      </x:c>
      <x:c r="K17" s="18" t="str">
        <x:v>Singapore Third Schedule Part IV rendered page 182 compared with sg-third-schedule-iv-2.</x:v>
      </x:c>
      <x:c r="L17" s="18" t="str">
        <x:v>Propionic acid and its salts at 2% maximum expressed as acid match.</x:v>
      </x:c>
    </x:row>
    <x:row r="18" ht="112" customHeight="1">
      <x:c r="A18" s="19" t="n">
        <x:v>9</x:v>
      </x:c>
      <x:c r="B18" s="18" t="str">
        <x:v>parts-i-v-09</x:v>
      </x:c>
      <x:c r="C18" s="18" t="str">
        <x:v>Third Schedule Part V</x:v>
      </x:c>
      <x:c r="D18" s="18" t="str">
        <x:v>3</x:v>
      </x:c>
      <x:c r="E18" s="18" t="str">
        <x:v>source-pages/sg-page-188.png</x:v>
      </x:c>
      <x:c r="F18" s="18" t="str">
        <x:v>Singapore Part V reference 3 is Homosalate with a 10% maximum authorised concentration.</x:v>
      </x:c>
      <x:c r="G18" s="18" t="str">
        <x:v>Rule: sg-third-schedule-v-3
Name: Homosalate
Limit/source field: 10%
Parsed concentration: 10 percent; basis —; stage finished_product
Warnings: Do not stay too long in the sun, even while using a sunscreen product [professional_review]
Section version: informal consolidation - version in force from 1 December 2025
Normalization: normalized</x:v>
      </x:c>
      <x:c r="H18" s="18" t="str">
        <x:v>Source hash, required record, provenance, identifier uniqueness, candidate structure and reproducible output hashes.</x:v>
      </x:c>
      <x:c r="I18" s="18" t="str">
        <x:v>Compare the rendered page with every displayed name, identifier, limit, basis, use condition, warning, continuation row, footnote and version. Confirm conservative manual-review status where the source is not safely executable.</x:v>
      </x:c>
      <x:c r="J18" s="19" t="str">
        <x:v>PASS</x:v>
      </x:c>
      <x:c r="K18" s="18" t="str">
        <x:v>Singapore Third Schedule Part V rendered page 188 compared with sg-third-schedule-v-3.</x:v>
      </x:c>
      <x:c r="L18" s="18" t="str">
        <x:v>Homosalate and the 10% maximum authorised concentration match.</x:v>
      </x:c>
    </x:row>
    <x:row r="19" ht="112" customHeight="1">
      <x:c r="A19" s="19" t="n">
        <x:v>10</x:v>
      </x:c>
      <x:c r="B19" s="18" t="str">
        <x:v>parts-i-v-10</x:v>
      </x:c>
      <x:c r="C19" s="18" t="str">
        <x:v>Annex VII</x:v>
      </x:c>
      <x:c r="D19" s="18" t="str">
        <x:v>A29a</x:v>
      </x:c>
      <x:c r="E19" s="18" t="str">
        <x:v>source-pages/acd-page-280.png
source-pages/acd-page-282.png
source-pages/acd-page-290.png</x:v>
      </x:c>
      <x:c r="F19" s="18" t="str">
        <x:v>ACD Annex VII A29a is Zinc Oxide (nano), CAS 1314-13-2, 25%; no inhalation exposure; listed purity, particle-size, solubility and coating conditions; footnote 2 requires combined zinc oxide and nano zinc oxide to remain within the column-c limit; Annex VII version 2025-2, 12 December 2025.</x:v>
      </x:c>
      <x:c r="G19" s="18" t="str">
        <x:v>Rule: acd-vii-a29a
Name: Zinc Oxide (nano)
CAS No.1314-13-2
CAS: 1314-13-2
Limit/source field: 25% (2)
Parsed concentration: 25 percent; basis —; stage finished_product
Warnings: Do not stay too long in the sun, even while using a sunscreen product [professional_review]
Combined limits: {"group_key":"zinc-oxide-and-zinc-oxide-nano","maximum":{"value":25,"unit":"percent","comparator":"less_than_or_equal","basis":null,"preparation_stage":"finished_product","source_field":"maximum_concentration","source_text":"25% (2)"},"constituent_references":["A29","A29a"],"source_text":"2. In case of combined use of zinc oxide and zinc oxide (nano), the sum shall not exceed the limit given in column c."}
Footnotes: {"footnote_number":"2","source_page":290,"source_text":"2. In case of combined use of zinc oxide and zinc oxide (nano), the sum shall not exceed the limit given in column c."}
Section version: 2025-2, 12 December 2025
Normalization: normalized</x:v>
      </x:c>
      <x:c r="H19" s="18" t="str">
        <x:v>Source hash, required record, provenance, identifier uniqueness, candidate structure and reproducible output hashes.</x:v>
      </x:c>
      <x:c r="I19" s="18" t="str">
        <x:v>Compare the rendered page with every displayed name, identifier, limit, basis, use condition, warning, continuation row, footnote and version. Confirm conservative manual-review status where the source is not safely executable.</x:v>
      </x:c>
      <x:c r="J19" s="19" t="str">
        <x:v>PASS</x:v>
      </x:c>
      <x:c r="K19" s="18" t="str">
        <x:v>ACD Annex VII rendered pages 280, 282, and 290 compared with acd-vii-a29a.</x:v>
      </x:c>
      <x:c r="L19" s="18" t="str">
        <x:v>Zinc Oxide (nano), CAS, 25%, inhalation restriction, nano characteristics, combined-use footnote (2), and section version 2025-2 match. The combined-footnote linkage was corrected before this PASS was recorded.</x:v>
      </x:c>
    </x:row>
    <x:row r="20" ht="112" customHeight="1">
      <x:c r="A20" s="19" t="n">
        <x:v>11</x:v>
      </x:c>
      <x:c r="B20" s="18" t="str">
        <x:v>parts-i-v-11</x:v>
      </x:c>
      <x:c r="C20" s="18" t="str">
        <x:v>Third Schedule Part V</x:v>
      </x:c>
      <x:c r="D20" s="18" t="str">
        <x:v>A29a</x:v>
      </x:c>
      <x:c r="E20" s="18" t="str">
        <x:v>source-pages/sg-page-188.png
source-pages/sg-page-193.png
source-pages/sg-page-194.png
source-pages/sg-page-195.png</x:v>
      </x:c>
      <x:c r="F20" s="18" t="str">
        <x:v>Singapore Part V A29a is Zinc oxide (nano), 25%; no inhalation exposure; listed purity, particle-size, solubility and coating conditions continue across pages 193-194; footnote 4 on page 195 applies the combined zinc-oxide limit.</x:v>
      </x:c>
      <x:c r="G20" s="18" t="str">
        <x:v>Rule: sg-third-schedule-v-a29a
Name: Zinc oxide (nano)
Limit/source field: 25%4
Parsed concentration: 25 percent; basis —; stage finished_product
Warnings: Do not stay too long in the sun, even while using a sunscreen product [professional_review]
Combined limits: {"group_key":"zinc-oxide-and-zinc-oxide-nano","maximum":{"value":25,"unit":"percent","comparator":"less_than_or_equal","basis":null,"preparation_stage":"finished_product","source_field":"maximum_concentration","source_text":"25%4"},"constituent_references":["A29","A29a"],"source_text":"4 In case of combined use of zinc oxide and zinc oxide (nano), the sum must not exceed the maximum\nconcentration specified in the third column."}
Footnotes: {"footnote_number":"4","source_page":195,"source_text":"4 In case of combined use of zinc oxide and zinc oxide (nano), the sum must not exceed the maximum\nconcentration specified in the third column."}
Section version: informal consolidation - version in force from 1 December 2025
Normalization: normalized</x:v>
      </x:c>
      <x:c r="H20" s="18" t="str">
        <x:v>Source hash, required record, provenance, identifier uniqueness, candidate structure and reproducible output hashes.</x:v>
      </x:c>
      <x:c r="I20" s="18" t="str">
        <x:v>Compare the rendered page with every displayed name, identifier, limit, basis, use condition, warning, continuation row, footnote and version. Confirm conservative manual-review status where the source is not safely executable.</x:v>
      </x:c>
      <x:c r="J20" s="19" t="str">
        <x:v>PASS</x:v>
      </x:c>
      <x:c r="K20" s="18" t="str">
        <x:v>Singapore Third Schedule Part V rendered pages 188, 193, 194, and 195 compared with sg-third-schedule-v-a29a.</x:v>
      </x:c>
      <x:c r="L20" s="18" t="str">
        <x:v>Zinc oxide (nano), 25%, inhalation restriction, continuation conditions, and combined-use footnote (4) match. The combined-footnote linkage was corrected before this PASS was recorded.</x:v>
      </x:c>
    </x:row>
    <x:row r="21" ht="112" customHeight="1">
      <x:c r="A21" s="19" t="n">
        <x:v>12</x:v>
      </x:c>
      <x:c r="B21" s="18" t="str">
        <x:v>parts-i-v-12</x:v>
      </x:c>
      <x:c r="C21" s="18" t="str">
        <x:v>Annex VII</x:v>
      </x:c>
      <x:c r="D21" s="18" t="str">
        <x:v>A28</x:v>
      </x:c>
      <x:c r="E21" s="18" t="str">
        <x:v>source-pages/acd-page-280.png
source-pages/acd-page-281.png</x:v>
      </x:c>
      <x:c r="F21" s="18" t="str">
        <x:v>ACD Annex VII A28 is Menthyl anthranilate at 5%; the section is version 2025-2, 12 December 2025 even though the bundle is 2026-1.</x:v>
      </x:c>
      <x:c r="G21" s="18" t="str">
        <x:v>Rule: acd-vii-a28
Name: Menthyl anthranilate
Limit/source field: 5 %
Parsed concentration: 5 percent; basis —; stage finished_product
Warnings: Do not stay too long in the sun, even while using a sunscreen product [professional_review]
Section version: 2025-2, 12 December 2025
Normalization: normalized</x:v>
      </x:c>
      <x:c r="H21" s="18" t="str">
        <x:v>Source hash, required record, provenance, identifier uniqueness, candidate structure and reproducible output hashes.</x:v>
      </x:c>
      <x:c r="I21" s="18" t="str">
        <x:v>Compare the rendered page with every displayed name, identifier, limit, basis, use condition, warning, continuation row, footnote and version. Confirm conservative manual-review status where the source is not safely executable.</x:v>
      </x:c>
      <x:c r="J21" s="19" t="str">
        <x:v>PASS</x:v>
      </x:c>
      <x:c r="K21" s="18" t="str">
        <x:v>ACD Annex VII rendered pages 280 and 281 compared with acd-vii-a28.</x:v>
      </x:c>
      <x:c r="L21" s="18" t="str">
        <x:v>Menthyl anthranilate at 5% and Annex VII section version 2025-2 dated 12 December 2025 match.</x:v>
      </x:c>
    </x:row>
    <x:row r="22" ht="112" customHeight="1">
      <x:c r="A22" s="19" t="n">
        <x:v>13</x:v>
      </x:c>
      <x:c r="B22" s="18" t="str">
        <x:v>parts-i-v-regulation-6-3</x:v>
      </x:c>
      <x:c r="C22" s="18" t="str">
        <x:v>Regulation 6</x:v>
      </x:c>
      <x:c r="D22" s="18" t="str">
        <x:v>6(3)</x:v>
      </x:c>
      <x:c r="E22" s="18" t="str">
        <x:v>source-pages/reg6-page-3.png</x:v>
      </x:c>
      <x:c r="F22" s="18" t="str">
        <x:v>Regulation 6(3): except for products intended solely to colour hair, a colouring agent must be in Part III and used according to Part III requirements.</x:v>
      </x:c>
      <x:c r="G22" s="18" t="str">
        <x:v>Provision: sg-regulation-6-3</x:v>
      </x:c>
      <x:c r="H22" s="18" t="str">
        <x:v>Source hash, required record, provenance, identifier uniqueness, candidate structure and reproducible output hashes.</x:v>
      </x:c>
      <x:c r="I22" s="18" t="str">
        <x:v>Compare the rendered page with every displayed name, identifier, limit, basis, use condition, warning, continuation row, footnote and version. Confirm conservative manual-review status where the source is not safely executable.</x:v>
      </x:c>
      <x:c r="J22" s="19" t="str">
        <x:v>PASS</x:v>
      </x:c>
      <x:c r="K22" s="18" t="str">
        <x:v>Singapore Regulation 6 rendered page 3 compared with sg-regulation-6-3.</x:v>
      </x:c>
      <x:c r="L22" s="18" t="str">
        <x:v>The solely-hair-colouring exception and Part III listing/use requirements match Regulation 6(3).</x:v>
      </x:c>
    </x:row>
    <x:row r="23" ht="112" customHeight="1">
      <x:c r="A23" s="19" t="n">
        <x:v>14</x:v>
      </x:c>
      <x:c r="B23" s="18" t="str">
        <x:v>parts-i-v-regulation-6-4</x:v>
      </x:c>
      <x:c r="C23" s="18" t="str">
        <x:v>Regulation 6</x:v>
      </x:c>
      <x:c r="D23" s="18" t="str">
        <x:v>6(4)</x:v>
      </x:c>
      <x:c r="E23" s="18" t="str">
        <x:v>source-pages/reg6-page-3.png</x:v>
      </x:c>
      <x:c r="F23" s="18" t="str">
        <x:v>Regulation 6(4): a preservative must be listed in Part IV, stay within the Part IV limit, and meet the other Part IV requirements.</x:v>
      </x:c>
      <x:c r="G23" s="18" t="str">
        <x:v>Provision: sg-regulation-6-4</x:v>
      </x:c>
      <x:c r="H23" s="18" t="str">
        <x:v>Source hash, required record, provenance, identifier uniqueness, candidate structure and reproducible output hashes.</x:v>
      </x:c>
      <x:c r="I23" s="18" t="str">
        <x:v>Compare the rendered page with every displayed name, identifier, limit, basis, use condition, warning, continuation row, footnote and version. Confirm conservative manual-review status where the source is not safely executable.</x:v>
      </x:c>
      <x:c r="J23" s="19" t="str">
        <x:v>PASS</x:v>
      </x:c>
      <x:c r="K23" s="18" t="str">
        <x:v>Singapore Regulation 6 rendered page 3 compared with sg-regulation-6-4.</x:v>
      </x:c>
      <x:c r="L23" s="18" t="str">
        <x:v>Part IV listing, maximum concentration, and other-requirements clauses match Regulation 6(4).</x:v>
      </x:c>
    </x:row>
    <x:row r="24" ht="112" customHeight="1">
      <x:c r="A24" s="19" t="n">
        <x:v>15</x:v>
      </x:c>
      <x:c r="B24" s="18" t="str">
        <x:v>parts-i-v-regulation-6-5</x:v>
      </x:c>
      <x:c r="C24" s="18" t="str">
        <x:v>Regulation 6</x:v>
      </x:c>
      <x:c r="D24" s="18" t="str">
        <x:v>6(5)</x:v>
      </x:c>
      <x:c r="E24" s="18" t="str">
        <x:v>source-pages/reg6-page-3.png
source-pages/reg6-page-4.png</x:v>
      </x:c>
      <x:c r="F24" s="18" t="str">
        <x:v>Regulation 6(5): a UV filter must be listed in Part V, stay within the Part V limit, and meet the other Part V requirements.</x:v>
      </x:c>
      <x:c r="G24" s="18" t="str">
        <x:v>Provision: sg-regulation-6-5</x:v>
      </x:c>
      <x:c r="H24" s="18" t="str">
        <x:v>Source hash, required record, provenance, identifier uniqueness, candidate structure and reproducible output hashes.</x:v>
      </x:c>
      <x:c r="I24" s="18" t="str">
        <x:v>Compare the rendered page with every displayed name, identifier, limit, basis, use condition, warning, continuation row, footnote and version. Confirm conservative manual-review status where the source is not safely executable.</x:v>
      </x:c>
      <x:c r="J24" s="19" t="str">
        <x:v>PASS</x:v>
      </x:c>
      <x:c r="K24" s="18" t="str">
        <x:v>Singapore Regulation 6 rendered pages 3 and 4 compared with sg-regulation-6-5.</x:v>
      </x:c>
      <x:c r="L24" s="18" t="str">
        <x:v>Part V listing, maximum concentration, and other-requirements clauses match Regulation 6(5).</x:v>
      </x:c>
    </x:row>
  </x:sheetData>
  <x:mergeCells>
    <x:mergeCell ref="A1:L1"/>
    <x:mergeCell ref="A2:L2"/>
  </x:mergeCells>
  <x:conditionalFormatting sqref="J10:J24">
    <x:cfRule type="containsText" dxfId="0" priority="1" operator="containsText" text="PASS"/>
    <x:cfRule type="containsText" dxfId="1" priority="2" operator="containsText" text="FAIL"/>
    <x:cfRule type="containsText" dxfId="2" priority="3" operator="containsText" text="PENDING"/>
  </x:conditionalFormatting>
  <x:dataValidations count="1">
    <x:dataValidation type="list" sqref="J10:J24">
      <x:formula1>"PENDING,PASS,FAIL"</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00" hidden="0" customWidth="1"/>
  </x:cols>
  <x:sheetData>
    <x:row r="1" ht="34" customHeight="1">
      <x:c r="A1" s="3" t="str">
        <x:v>How to verify the candidate</x:v>
      </x:c>
      <x:c r="B1" s="3"/>
      <x:c r="C1" s="3"/>
      <x:c r="D1" s="3"/>
      <x:c r="E1" s="3"/>
      <x:c r="F1" s="3"/>
    </x:row>
    <x:row r="3" ht="48" customHeight="1">
      <x:c r="A3" s="24" t="str">
        <x:v>Purpose</x:v>
      </x:c>
      <x:c r="B3" s="18" t="str">
        <x:v>Confirm that selected normalized records faithfully match the official PDF pages before the candidate becomes the accepted runtime dataset.</x:v>
      </x:c>
    </x:row>
    <x:row r="4" ht="48" customHeight="1">
      <x:c r="A4" s="24" t="str">
        <x:v>Step 1</x:v>
      </x:c>
      <x:c r="B4" s="18" t="str">
        <x:v>Open each rendered page listed in the Checklist sheet. Use the immutable PDF as the final reference if any text is unclear.</x:v>
      </x:c>
    </x:row>
    <x:row r="5" ht="48" customHeight="1">
      <x:c r="A5" s="24" t="str">
        <x:v>Step 2</x:v>
      </x:c>
      <x:c r="B5" s="18" t="str">
        <x:v>Find the stated reference number. Check the name, CAS or CI identifier, permitted use, limit, basis, preparation stage, warnings, footnotes, and continuation rows.</x:v>
      </x:c>
    </x:row>
    <x:row r="6" ht="48" customHeight="1">
      <x:c r="A6" s="24" t="str">
        <x:v>Step 3</x:v>
      </x:c>
      <x:c r="B6" s="18" t="str">
        <x:v>Compare those source facts with the Extracted JSON values column. A value must not be simplified beyond what the source safely supports.</x:v>
      </x:c>
    </x:row>
    <x:row r="7" ht="48" customHeight="1">
      <x:c r="A7" s="24" t="str">
        <x:v>Step 4</x:v>
      </x:c>
      <x:c r="B7" s="18" t="str">
        <x:v>Record PASS only when every material fact matches. Record FAIL for any mismatch and explain it in Reviewer notes.</x:v>
      </x:c>
    </x:row>
    <x:row r="8" ht="48" customHeight="1">
      <x:c r="A8" s="24" t="str">
        <x:v>Automated checks</x:v>
      </x:c>
      <x:c r="B8" s="18" t="str">
        <x:v>Source hashes, record presence, schema validity, duplicate IDs, required section/page coverage, provenance, structural validation, deterministic output hashes, and regression tests.</x:v>
      </x:c>
    </x:row>
    <x:row r="9" ht="48" customHeight="1">
      <x:c r="A9" s="24" t="str">
        <x:v>Manual checks</x:v>
      </x:c>
      <x:c r="B9" s="18" t="str">
        <x:v>Visual row/column alignment, continuation text, footnote and preamble scope, warning scope, multi-use limits, nano conditions, and the meaning of Regulation 6(3)–(5).</x:v>
      </x:c>
    </x:row>
    <x:row r="10" ht="48" customHeight="1">
      <x:c r="A10" s="24" t="str">
        <x:v>Promotion gate</x:v>
      </x:c>
      <x:c r="B10" s="18" t="str">
        <x:v>All 15 required checks must be PASS. Candidate validation, reproducibility, accepted-manifest verification, backend tests, frontend tests, and the production frontend build must also pass.</x:v>
      </x:c>
    </x:row>
    <x:row r="11" ht="48" customHeight="1">
      <x:c r="A11" s="24" t="str">
        <x:v>Interpretation rule</x:v>
      </x:c>
      <x:c r="B11" s="18" t="str">
        <x:v>If a source condition cannot be represented safely, keep the original wording and require professional review. Do not invent a deterministic rule.</x:v>
      </x:c>
    </x:row>
    <x:row r="12" ht="48" customHeight="1">
      <x:c r="A12" s="24" t="str">
        <x:v>Result meaning</x:v>
      </x:c>
      <x:c r="B12" s="18" t="str">
        <x:v>PASS confirms faithful extraction for this spot-check. It does not state that a product is approved, safe, or fully compliant.</x:v>
      </x:c>
    </x:row>
  </x:sheetData>
  <x:mergeCells>
    <x:mergeCell ref="A1:F1"/>
  </x:mergeCells>
  <x:pageMargins left="0.7" right="0.7" top="0.75" bottom="0.75" header="0.3" footer="0.3"/>
</x:worksheet>
</file>